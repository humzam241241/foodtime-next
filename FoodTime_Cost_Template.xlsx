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Menu Costs" state="visible" r:id="rId5"/>
    <sheet sheetId="3" name="Catering" state="visible" r:id="rId6"/>
  </sheets>
  <calcPr calcId="171027"/>
</workbook>
</file>

<file path=xl/sharedStrings.xml><?xml version="1.0" encoding="utf-8"?>
<sst xmlns="http://schemas.openxmlformats.org/spreadsheetml/2006/main" count="267" uniqueCount="167">
  <si>
    <t>Food Time — Cost &amp; Inventory Template</t>
  </si>
  <si>
    <t/>
  </si>
  <si>
    <t>How to use this workbook</t>
  </si>
  <si>
    <t>1. Open the "Menu Costs" tab.</t>
  </si>
  <si>
    <t>2. For every row, fill in:</t>
  </si>
  <si>
    <t xml:space="preserve">     • Cost of Meat (column C)</t>
  </si>
  <si>
    <t xml:space="preserve">     • Cost of Vegetables (column D)</t>
  </si>
  <si>
    <t xml:space="preserve">     • Cost of Spices (column E)</t>
  </si>
  <si>
    <t xml:space="preserve">     • Cost of Labour (column F)</t>
  </si>
  <si>
    <t xml:space="preserve">     • Cost of Packaging (column G)</t>
  </si>
  <si>
    <t xml:space="preserve">     • Markup %  (column H) — whole number, e.g. 35 for 35%</t>
  </si>
  <si>
    <t>3. "Final Price" (column I) is auto-calculated:</t>
  </si>
  <si>
    <t xml:space="preserve">     Final Price = (C + D + E + F + G) × (1 + Markup% / 100)</t>
  </si>
  <si>
    <t>4. The "Totals" row at the bottom sums every cost column.</t>
  </si>
  <si>
    <t>5. Markup below 10% highlights red as a visual warning.</t>
  </si>
  <si>
    <t>The "Catering" tab computes gross margin per person instead of final price — list prices are already filled in from src/data/cateringPackages.ts.</t>
  </si>
  <si>
    <t>Regenerating this file</t>
  </si>
  <si>
    <t>Run:  node generate-cost-template.mjs   (or:  npm run gen:costs)</t>
  </si>
  <si>
    <t>The generator reads the hard-coded menu list inside the script. Keep it in sync with src/data/menu.ts.</t>
  </si>
  <si>
    <t>Category</t>
  </si>
  <si>
    <t>Item</t>
  </si>
  <si>
    <t>Cost of Meat</t>
  </si>
  <si>
    <t>Cost of Vegetables</t>
  </si>
  <si>
    <t>Cost of Spices</t>
  </si>
  <si>
    <t>Cost of Labour</t>
  </si>
  <si>
    <t>Cost of Packaging</t>
  </si>
  <si>
    <t>Markup %</t>
  </si>
  <si>
    <t>Final Price</t>
  </si>
  <si>
    <t>Appetizers / Snacks</t>
  </si>
  <si>
    <t>Shami Kabab (2 Pcs.)</t>
  </si>
  <si>
    <t>Chat Papri</t>
  </si>
  <si>
    <t>Aloo Channa Chaat</t>
  </si>
  <si>
    <t>Veggie Pakoras (6 Pcs.)</t>
  </si>
  <si>
    <t>Chicken Pakoras (6 Pcs.)</t>
  </si>
  <si>
    <t>Vegetable Samosa (per piece)</t>
  </si>
  <si>
    <t>Vegetarian Dishes</t>
  </si>
  <si>
    <t>Pakora Curry</t>
  </si>
  <si>
    <t>Mash / Shahi Daal</t>
  </si>
  <si>
    <t>Mixed Vegetables</t>
  </si>
  <si>
    <t>Channa Masala</t>
  </si>
  <si>
    <t>Palak Aloo</t>
  </si>
  <si>
    <t>Mutter Aloo</t>
  </si>
  <si>
    <t>Palak Paneer</t>
  </si>
  <si>
    <t>Mutter Paneer</t>
  </si>
  <si>
    <t>Paneer Makhani</t>
  </si>
  <si>
    <t>Baighan</t>
  </si>
  <si>
    <t>Curry Dishes</t>
  </si>
  <si>
    <t>Qorma — Chicken</t>
  </si>
  <si>
    <t>Qorma — Chicken Boneless</t>
  </si>
  <si>
    <t>Qorma — Veal</t>
  </si>
  <si>
    <t>Qorma — Lamb / Goat</t>
  </si>
  <si>
    <t>Karahi — Chicken</t>
  </si>
  <si>
    <t>Karahi — Chicken Boneless</t>
  </si>
  <si>
    <t>Karahi — Veal</t>
  </si>
  <si>
    <t>Karahi — Goat</t>
  </si>
  <si>
    <t>Palak Gosht — Chicken</t>
  </si>
  <si>
    <t>Palak Gosht — Chicken Boneless</t>
  </si>
  <si>
    <t>Palak Gosht — Veal</t>
  </si>
  <si>
    <t>Palak Gosht — Lamb / Goat</t>
  </si>
  <si>
    <t>Daal Gosht — Chicken</t>
  </si>
  <si>
    <t>Daal Gosht — Chicken Boneless</t>
  </si>
  <si>
    <t>Daal Gosht — Veal</t>
  </si>
  <si>
    <t>Vindaloo — Chicken</t>
  </si>
  <si>
    <t>Vindaloo — Chicken Boneless</t>
  </si>
  <si>
    <t>Vindaloo — Veal</t>
  </si>
  <si>
    <t>Chicken Jalfrazi</t>
  </si>
  <si>
    <t>Chicken Chilli</t>
  </si>
  <si>
    <t>Butter Chicken</t>
  </si>
  <si>
    <t>Chicken Tikka Masala</t>
  </si>
  <si>
    <t>Nahari</t>
  </si>
  <si>
    <t>Paya</t>
  </si>
  <si>
    <t>Haleem</t>
  </si>
  <si>
    <t>Half Chicken Karahi</t>
  </si>
  <si>
    <t>Full Chicken Karahi</t>
  </si>
  <si>
    <t>Rice Dishes</t>
  </si>
  <si>
    <t>Plain Rice</t>
  </si>
  <si>
    <t>Vegetable Biryani</t>
  </si>
  <si>
    <t>Chicken Biryani</t>
  </si>
  <si>
    <t>Boneless Chicken Biryani</t>
  </si>
  <si>
    <t>Veal Biryani</t>
  </si>
  <si>
    <t>Lamb / Goat Biryani</t>
  </si>
  <si>
    <t>Shrimp Biryani</t>
  </si>
  <si>
    <t>Fish Biryani</t>
  </si>
  <si>
    <t>Wraps</t>
  </si>
  <si>
    <t>Chicken Kebab Roll</t>
  </si>
  <si>
    <t>Beef Kebab Roll</t>
  </si>
  <si>
    <t>Chicken Tikka Roll</t>
  </si>
  <si>
    <t>Bihari Kabob Roll</t>
  </si>
  <si>
    <t>Sizzling B.B.Q (Tandoori)</t>
  </si>
  <si>
    <t>Chicken or Beef Kabob (1 pc)</t>
  </si>
  <si>
    <t>Quarter Chicken Leg only</t>
  </si>
  <si>
    <t>Quarter Chicken Leg with Naan</t>
  </si>
  <si>
    <t>Tandoori Chicken Full with Rice or Naans</t>
  </si>
  <si>
    <t>Tandoori Chicken Half with Rice or Naan</t>
  </si>
  <si>
    <t>Chicken Tikka White Meat</t>
  </si>
  <si>
    <t>Chicken Tikka Dark Meat</t>
  </si>
  <si>
    <t>Chicken Kabab / Rice or Naan</t>
  </si>
  <si>
    <t>Seekh Kabab / Rice or Naan</t>
  </si>
  <si>
    <t>Chapli Kabab / Rice or Naan</t>
  </si>
  <si>
    <t>Bihari Kabab</t>
  </si>
  <si>
    <t>Lamb Chops</t>
  </si>
  <si>
    <t>Sea Food</t>
  </si>
  <si>
    <t>Fried Fish</t>
  </si>
  <si>
    <t>Fish Tandoori</t>
  </si>
  <si>
    <t>Shrimp Curry</t>
  </si>
  <si>
    <t>Fish Curry</t>
  </si>
  <si>
    <t>Fish Masala</t>
  </si>
  <si>
    <t>Prawn Masala</t>
  </si>
  <si>
    <t>Prawn Curry</t>
  </si>
  <si>
    <t>Naan (Bread)</t>
  </si>
  <si>
    <t>Plain Naan</t>
  </si>
  <si>
    <t>Garlic Naan</t>
  </si>
  <si>
    <t>Onion Naan</t>
  </si>
  <si>
    <t>Aloo Naan</t>
  </si>
  <si>
    <t>Qeema Naan</t>
  </si>
  <si>
    <t>Sesame (Till) Naan</t>
  </si>
  <si>
    <t>Afghani Naan (catering)</t>
  </si>
  <si>
    <t>Tandoori Naan (catering)</t>
  </si>
  <si>
    <t>Dessert &amp; Sweets</t>
  </si>
  <si>
    <t>Rasmalai (2 pcs)</t>
  </si>
  <si>
    <t>Gulab Jaman (2 Pcs)</t>
  </si>
  <si>
    <t>Kheer</t>
  </si>
  <si>
    <t>Mixed Sweets (per lb)</t>
  </si>
  <si>
    <t>Laddu (per lb)</t>
  </si>
  <si>
    <t>Carrot Halwa (catering)</t>
  </si>
  <si>
    <t>Mango Delight (catering)</t>
  </si>
  <si>
    <t>Pineapple Delight (catering)</t>
  </si>
  <si>
    <t>Zarda (catering)</t>
  </si>
  <si>
    <t>Hot &amp; Cold Beverages</t>
  </si>
  <si>
    <t>Lassi Sweet or Salty</t>
  </si>
  <si>
    <t>Mango Lassi</t>
  </si>
  <si>
    <t>Kulfi Mango / Pista</t>
  </si>
  <si>
    <t>Mango Shake</t>
  </si>
  <si>
    <t>Mango Juice</t>
  </si>
  <si>
    <t>Soda Can</t>
  </si>
  <si>
    <t>Tea</t>
  </si>
  <si>
    <t>Masala Tea</t>
  </si>
  <si>
    <t>Kid's Menu</t>
  </si>
  <si>
    <t>Chicken Nuggets with French Fries</t>
  </si>
  <si>
    <t>Malai Chicken Tikka (4/5 pcs) with French Fries</t>
  </si>
  <si>
    <t>Kids French Fries</t>
  </si>
  <si>
    <t>Catering (extras)</t>
  </si>
  <si>
    <t>Vegetable Pulao</t>
  </si>
  <si>
    <t>Chicken Pulao</t>
  </si>
  <si>
    <t>Veal Pulao</t>
  </si>
  <si>
    <t>Achar Chicken</t>
  </si>
  <si>
    <t>Finger Fish</t>
  </si>
  <si>
    <t>Yogurt Sauce with Herbs (Raita)</t>
  </si>
  <si>
    <t>Chef's Garden Salad</t>
  </si>
  <si>
    <t>Totals</t>
  </si>
  <si>
    <t>Package</t>
  </si>
  <si>
    <t>Min People</t>
  </si>
  <si>
    <t># Items</t>
  </si>
  <si>
    <t>List Price / Person</t>
  </si>
  <si>
    <t>Cost of Meat / Person</t>
  </si>
  <si>
    <t>Cost of Vegetables / Person</t>
  </si>
  <si>
    <t>Cost of Spices / Person</t>
  </si>
  <si>
    <t>Cost of Labour / Person</t>
  </si>
  <si>
    <t>Cost of Packaging / Person</t>
  </si>
  <si>
    <t>Total Cost / Person</t>
  </si>
  <si>
    <t>Gross Margin / Person</t>
  </si>
  <si>
    <t>Gross Margin %</t>
  </si>
  <si>
    <t>Basic Package</t>
  </si>
  <si>
    <t>Vegetarian Package</t>
  </si>
  <si>
    <t>Silver Package</t>
  </si>
  <si>
    <t>Gold Package</t>
  </si>
  <si>
    <t>Platinum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</si>
</sst>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&quot;%&quot;"/>
  </numFmts>
  <fonts count="8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3"/>
    </font>
    <font>
      <b/>
      <color rgb="FFFFFFFF"/>
      <sz val="11"/>
    </font>
    <font>
      <b/>
      <color rgb="FF3730A3"/>
      <sz val="11"/>
    </font>
    <font>
      <b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EF2FF"/>
      </patternFill>
    </fill>
    <fill>
      <patternFill patternType="solid">
        <fgColor rgb="FFF0FDF4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0" fontId="7" fillId="0" borderId="0" xfId="0" applyFont="1"/>
    <xf numFmtId="164" fontId="6" fillId="5" borderId="1" xfId="0" applyNumberFormat="1" applyFont="1" applyFill="1" applyBorder="1"/>
    <xf numFmtId="0" fontId="6" fillId="0" borderId="1" xfId="0" applyFont="1" applyBorder="1"/>
    <xf numFmtId="164" fontId="0" fillId="0" borderId="1" xfId="0" applyNumberFormat="1" applyBorder="1"/>
    <xf numFmtId="164" fontId="6" fillId="4" borderId="1" xfId="0" applyNumberFormat="1" applyFont="1" applyFill="1" applyBorder="1"/>
    <xf numFmtId="164" fontId="6" fillId="0" borderId="1" xfId="0" applyNumberFormat="1" applyFont="1" applyBorder="1"/>
    <xf numFmtId="165" fontId="6" fillId="0" borderId="1" xfId="0" applyNumberFormat="1" applyFont="1" applyBorder="1"/>
  </cellXfs>
  <cellStyles count="1">
    <cellStyle name="Normal" xfId="0" builtinId="0"/>
  </cellStyles>
  <dxfs count="1">
    <dxf>
      <fill>
        <patternFill patternType="solid">
          <f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</v>
      </c>
    </row>
    <row r="18" spans="1:1" x14ac:dyDescent="0.25">
      <c r="A18" s="2" t="s">
        <v>15</v>
      </c>
    </row>
    <row r="19" spans="1:1" x14ac:dyDescent="0.25">
      <c r="A19" s="2" t="s">
        <v>1</v>
      </c>
    </row>
    <row r="20" spans="1:1" x14ac:dyDescent="0.25">
      <c r="A20" s="3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48" customWidth="1"/>
    <col min="3" max="3" width="14" customWidth="1"/>
    <col min="4" max="4" width="18" customWidth="1"/>
    <col min="5" max="6" width="14" customWidth="1"/>
    <col min="7" max="7" width="18" customWidth="1"/>
    <col min="8" max="8" width="12" customWidth="1"/>
    <col min="9" max="9" width="16" customWidth="1"/>
  </cols>
  <sheetData>
    <row r="1" ht="32" customHeight="1" spans="1:9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spans="1:9" x14ac:dyDescent="0.25">
      <c r="A2" s="5" t="s">
        <v>28</v>
      </c>
      <c r="B2" s="6" t="s">
        <v>29</v>
      </c>
      <c r="C2" s="7"/>
      <c r="D2" s="7"/>
      <c r="E2" s="7"/>
      <c r="F2" s="7"/>
      <c r="G2" s="7"/>
      <c r="H2" s="8"/>
      <c r="I2" s="9">
        <f>IF(COUNT(C2:G2)=0,"",ROUND(SUM(C2:G2)*(1+IFERROR(H2,0)/100),2))</f>
      </c>
    </row>
    <row r="3" spans="1:9" x14ac:dyDescent="0.25">
      <c r="A3" s="5" t="s">
        <v>28</v>
      </c>
      <c r="B3" s="6" t="s">
        <v>30</v>
      </c>
      <c r="C3" s="7"/>
      <c r="D3" s="7"/>
      <c r="E3" s="7"/>
      <c r="F3" s="7"/>
      <c r="G3" s="7"/>
      <c r="H3" s="8"/>
      <c r="I3" s="9">
        <f>IF(COUNT(C3:G3)=0,"",ROUND(SUM(C3:G3)*(1+IFERROR(H3,0)/100),2))</f>
      </c>
    </row>
    <row r="4" spans="1:9" x14ac:dyDescent="0.25">
      <c r="A4" s="5" t="s">
        <v>28</v>
      </c>
      <c r="B4" s="6" t="s">
        <v>31</v>
      </c>
      <c r="C4" s="7"/>
      <c r="D4" s="7"/>
      <c r="E4" s="7"/>
      <c r="F4" s="7"/>
      <c r="G4" s="7"/>
      <c r="H4" s="8"/>
      <c r="I4" s="9">
        <f>IF(COUNT(C4:G4)=0,"",ROUND(SUM(C4:G4)*(1+IFERROR(H4,0)/100),2))</f>
      </c>
    </row>
    <row r="5" spans="1:9" x14ac:dyDescent="0.25">
      <c r="A5" s="5" t="s">
        <v>28</v>
      </c>
      <c r="B5" s="6" t="s">
        <v>32</v>
      </c>
      <c r="C5" s="7"/>
      <c r="D5" s="7"/>
      <c r="E5" s="7"/>
      <c r="F5" s="7"/>
      <c r="G5" s="7"/>
      <c r="H5" s="8"/>
      <c r="I5" s="9">
        <f>IF(COUNT(C5:G5)=0,"",ROUND(SUM(C5:G5)*(1+IFERROR(H5,0)/100),2))</f>
      </c>
    </row>
    <row r="6" spans="1:9" x14ac:dyDescent="0.25">
      <c r="A6" s="5" t="s">
        <v>28</v>
      </c>
      <c r="B6" s="6" t="s">
        <v>33</v>
      </c>
      <c r="C6" s="7"/>
      <c r="D6" s="7"/>
      <c r="E6" s="7"/>
      <c r="F6" s="7"/>
      <c r="G6" s="7"/>
      <c r="H6" s="8"/>
      <c r="I6" s="9">
        <f>IF(COUNT(C6:G6)=0,"",ROUND(SUM(C6:G6)*(1+IFERROR(H6,0)/100),2))</f>
      </c>
    </row>
    <row r="7" spans="1:9" x14ac:dyDescent="0.25">
      <c r="A7" s="5" t="s">
        <v>28</v>
      </c>
      <c r="B7" s="6" t="s">
        <v>34</v>
      </c>
      <c r="C7" s="7"/>
      <c r="D7" s="7"/>
      <c r="E7" s="7"/>
      <c r="F7" s="7"/>
      <c r="G7" s="7"/>
      <c r="H7" s="8"/>
      <c r="I7" s="9">
        <f>IF(COUNT(C7:G7)=0,"",ROUND(SUM(C7:G7)*(1+IFERROR(H7,0)/100),2))</f>
      </c>
    </row>
    <row r="8" spans="1:9" x14ac:dyDescent="0.25">
      <c r="A8" s="5" t="s">
        <v>35</v>
      </c>
      <c r="B8" s="6" t="s">
        <v>36</v>
      </c>
      <c r="C8" s="7"/>
      <c r="D8" s="7"/>
      <c r="E8" s="7"/>
      <c r="F8" s="7"/>
      <c r="G8" s="7"/>
      <c r="H8" s="8"/>
      <c r="I8" s="9">
        <f>IF(COUNT(C8:G8)=0,"",ROUND(SUM(C8:G8)*(1+IFERROR(H8,0)/100),2))</f>
      </c>
    </row>
    <row r="9" spans="1:9" x14ac:dyDescent="0.25">
      <c r="A9" s="5" t="s">
        <v>35</v>
      </c>
      <c r="B9" s="6" t="s">
        <v>37</v>
      </c>
      <c r="C9" s="7"/>
      <c r="D9" s="7"/>
      <c r="E9" s="7"/>
      <c r="F9" s="7"/>
      <c r="G9" s="7"/>
      <c r="H9" s="8"/>
      <c r="I9" s="9">
        <f>IF(COUNT(C9:G9)=0,"",ROUND(SUM(C9:G9)*(1+IFERROR(H9,0)/100),2))</f>
      </c>
    </row>
    <row r="10" spans="1:9" x14ac:dyDescent="0.25">
      <c r="A10" s="5" t="s">
        <v>35</v>
      </c>
      <c r="B10" s="6" t="s">
        <v>38</v>
      </c>
      <c r="C10" s="7"/>
      <c r="D10" s="7"/>
      <c r="E10" s="7"/>
      <c r="F10" s="7"/>
      <c r="G10" s="7"/>
      <c r="H10" s="8"/>
      <c r="I10" s="9">
        <f>IF(COUNT(C10:G10)=0,"",ROUND(SUM(C10:G10)*(1+IFERROR(H10,0)/100),2))</f>
      </c>
    </row>
    <row r="11" spans="1:9" x14ac:dyDescent="0.25">
      <c r="A11" s="5" t="s">
        <v>35</v>
      </c>
      <c r="B11" s="6" t="s">
        <v>39</v>
      </c>
      <c r="C11" s="7"/>
      <c r="D11" s="7"/>
      <c r="E11" s="7"/>
      <c r="F11" s="7"/>
      <c r="G11" s="7"/>
      <c r="H11" s="8"/>
      <c r="I11" s="9">
        <f>IF(COUNT(C11:G11)=0,"",ROUND(SUM(C11:G11)*(1+IFERROR(H11,0)/100),2))</f>
      </c>
    </row>
    <row r="12" spans="1:9" x14ac:dyDescent="0.25">
      <c r="A12" s="5" t="s">
        <v>35</v>
      </c>
      <c r="B12" s="6" t="s">
        <v>40</v>
      </c>
      <c r="C12" s="7"/>
      <c r="D12" s="7"/>
      <c r="E12" s="7"/>
      <c r="F12" s="7"/>
      <c r="G12" s="7"/>
      <c r="H12" s="8"/>
      <c r="I12" s="9">
        <f>IF(COUNT(C12:G12)=0,"",ROUND(SUM(C12:G12)*(1+IFERROR(H12,0)/100),2))</f>
      </c>
    </row>
    <row r="13" spans="1:9" x14ac:dyDescent="0.25">
      <c r="A13" s="5" t="s">
        <v>35</v>
      </c>
      <c r="B13" s="6" t="s">
        <v>41</v>
      </c>
      <c r="C13" s="7"/>
      <c r="D13" s="7"/>
      <c r="E13" s="7"/>
      <c r="F13" s="7"/>
      <c r="G13" s="7"/>
      <c r="H13" s="8"/>
      <c r="I13" s="9">
        <f>IF(COUNT(C13:G13)=0,"",ROUND(SUM(C13:G13)*(1+IFERROR(H13,0)/100),2))</f>
      </c>
    </row>
    <row r="14" spans="1:9" x14ac:dyDescent="0.25">
      <c r="A14" s="5" t="s">
        <v>35</v>
      </c>
      <c r="B14" s="6" t="s">
        <v>42</v>
      </c>
      <c r="C14" s="7"/>
      <c r="D14" s="7"/>
      <c r="E14" s="7"/>
      <c r="F14" s="7"/>
      <c r="G14" s="7"/>
      <c r="H14" s="8"/>
      <c r="I14" s="9">
        <f>IF(COUNT(C14:G14)=0,"",ROUND(SUM(C14:G14)*(1+IFERROR(H14,0)/100),2))</f>
      </c>
    </row>
    <row r="15" spans="1:9" x14ac:dyDescent="0.25">
      <c r="A15" s="5" t="s">
        <v>35</v>
      </c>
      <c r="B15" s="6" t="s">
        <v>43</v>
      </c>
      <c r="C15" s="7"/>
      <c r="D15" s="7"/>
      <c r="E15" s="7"/>
      <c r="F15" s="7"/>
      <c r="G15" s="7"/>
      <c r="H15" s="8"/>
      <c r="I15" s="9">
        <f>IF(COUNT(C15:G15)=0,"",ROUND(SUM(C15:G15)*(1+IFERROR(H15,0)/100),2))</f>
      </c>
    </row>
    <row r="16" spans="1:9" x14ac:dyDescent="0.25">
      <c r="A16" s="5" t="s">
        <v>35</v>
      </c>
      <c r="B16" s="6" t="s">
        <v>44</v>
      </c>
      <c r="C16" s="7"/>
      <c r="D16" s="7"/>
      <c r="E16" s="7"/>
      <c r="F16" s="7"/>
      <c r="G16" s="7"/>
      <c r="H16" s="8"/>
      <c r="I16" s="9">
        <f>IF(COUNT(C16:G16)=0,"",ROUND(SUM(C16:G16)*(1+IFERROR(H16,0)/100),2))</f>
      </c>
    </row>
    <row r="17" spans="1:9" x14ac:dyDescent="0.25">
      <c r="A17" s="5" t="s">
        <v>35</v>
      </c>
      <c r="B17" s="6" t="s">
        <v>45</v>
      </c>
      <c r="C17" s="7"/>
      <c r="D17" s="7"/>
      <c r="E17" s="7"/>
      <c r="F17" s="7"/>
      <c r="G17" s="7"/>
      <c r="H17" s="8"/>
      <c r="I17" s="9">
        <f>IF(COUNT(C17:G17)=0,"",ROUND(SUM(C17:G17)*(1+IFERROR(H17,0)/100),2))</f>
      </c>
    </row>
    <row r="18" spans="1:9" x14ac:dyDescent="0.25">
      <c r="A18" s="5" t="s">
        <v>46</v>
      </c>
      <c r="B18" s="6" t="s">
        <v>47</v>
      </c>
      <c r="C18" s="7"/>
      <c r="D18" s="7"/>
      <c r="E18" s="7"/>
      <c r="F18" s="7"/>
      <c r="G18" s="7"/>
      <c r="H18" s="8"/>
      <c r="I18" s="9">
        <f>IF(COUNT(C18:G18)=0,"",ROUND(SUM(C18:G18)*(1+IFERROR(H18,0)/100),2))</f>
      </c>
    </row>
    <row r="19" spans="1:9" x14ac:dyDescent="0.25">
      <c r="A19" s="5" t="s">
        <v>46</v>
      </c>
      <c r="B19" s="6" t="s">
        <v>48</v>
      </c>
      <c r="C19" s="7"/>
      <c r="D19" s="7"/>
      <c r="E19" s="7"/>
      <c r="F19" s="7"/>
      <c r="G19" s="7"/>
      <c r="H19" s="8"/>
      <c r="I19" s="9">
        <f>IF(COUNT(C19:G19)=0,"",ROUND(SUM(C19:G19)*(1+IFERROR(H19,0)/100),2))</f>
      </c>
    </row>
    <row r="20" spans="1:9" x14ac:dyDescent="0.25">
      <c r="A20" s="5" t="s">
        <v>46</v>
      </c>
      <c r="B20" s="6" t="s">
        <v>49</v>
      </c>
      <c r="C20" s="7"/>
      <c r="D20" s="7"/>
      <c r="E20" s="7"/>
      <c r="F20" s="7"/>
      <c r="G20" s="7"/>
      <c r="H20" s="8"/>
      <c r="I20" s="9">
        <f>IF(COUNT(C20:G20)=0,"",ROUND(SUM(C20:G20)*(1+IFERROR(H20,0)/100),2))</f>
      </c>
    </row>
    <row r="21" spans="1:9" x14ac:dyDescent="0.25">
      <c r="A21" s="5" t="s">
        <v>46</v>
      </c>
      <c r="B21" s="6" t="s">
        <v>50</v>
      </c>
      <c r="C21" s="7"/>
      <c r="D21" s="7"/>
      <c r="E21" s="7"/>
      <c r="F21" s="7"/>
      <c r="G21" s="7"/>
      <c r="H21" s="8"/>
      <c r="I21" s="9">
        <f>IF(COUNT(C21:G21)=0,"",ROUND(SUM(C21:G21)*(1+IFERROR(H21,0)/100),2))</f>
      </c>
    </row>
    <row r="22" spans="1:9" x14ac:dyDescent="0.25">
      <c r="A22" s="5" t="s">
        <v>46</v>
      </c>
      <c r="B22" s="6" t="s">
        <v>51</v>
      </c>
      <c r="C22" s="7"/>
      <c r="D22" s="7"/>
      <c r="E22" s="7"/>
      <c r="F22" s="7"/>
      <c r="G22" s="7"/>
      <c r="H22" s="8"/>
      <c r="I22" s="9">
        <f>IF(COUNT(C22:G22)=0,"",ROUND(SUM(C22:G22)*(1+IFERROR(H22,0)/100),2))</f>
      </c>
    </row>
    <row r="23" spans="1:9" x14ac:dyDescent="0.25">
      <c r="A23" s="5" t="s">
        <v>46</v>
      </c>
      <c r="B23" s="6" t="s">
        <v>52</v>
      </c>
      <c r="C23" s="7"/>
      <c r="D23" s="7"/>
      <c r="E23" s="7"/>
      <c r="F23" s="7"/>
      <c r="G23" s="7"/>
      <c r="H23" s="8"/>
      <c r="I23" s="9">
        <f>IF(COUNT(C23:G23)=0,"",ROUND(SUM(C23:G23)*(1+IFERROR(H23,0)/100),2))</f>
      </c>
    </row>
    <row r="24" spans="1:9" x14ac:dyDescent="0.25">
      <c r="A24" s="5" t="s">
        <v>46</v>
      </c>
      <c r="B24" s="6" t="s">
        <v>53</v>
      </c>
      <c r="C24" s="7"/>
      <c r="D24" s="7"/>
      <c r="E24" s="7"/>
      <c r="F24" s="7"/>
      <c r="G24" s="7"/>
      <c r="H24" s="8"/>
      <c r="I24" s="9">
        <f>IF(COUNT(C24:G24)=0,"",ROUND(SUM(C24:G24)*(1+IFERROR(H24,0)/100),2))</f>
      </c>
    </row>
    <row r="25" spans="1:9" x14ac:dyDescent="0.25">
      <c r="A25" s="5" t="s">
        <v>46</v>
      </c>
      <c r="B25" s="6" t="s">
        <v>54</v>
      </c>
      <c r="C25" s="7"/>
      <c r="D25" s="7"/>
      <c r="E25" s="7"/>
      <c r="F25" s="7"/>
      <c r="G25" s="7"/>
      <c r="H25" s="8"/>
      <c r="I25" s="9">
        <f>IF(COUNT(C25:G25)=0,"",ROUND(SUM(C25:G25)*(1+IFERROR(H25,0)/100),2))</f>
      </c>
    </row>
    <row r="26" spans="1:9" x14ac:dyDescent="0.25">
      <c r="A26" s="5" t="s">
        <v>46</v>
      </c>
      <c r="B26" s="6" t="s">
        <v>55</v>
      </c>
      <c r="C26" s="7"/>
      <c r="D26" s="7"/>
      <c r="E26" s="7"/>
      <c r="F26" s="7"/>
      <c r="G26" s="7"/>
      <c r="H26" s="8"/>
      <c r="I26" s="9">
        <f>IF(COUNT(C26:G26)=0,"",ROUND(SUM(C26:G26)*(1+IFERROR(H26,0)/100),2))</f>
      </c>
    </row>
    <row r="27" spans="1:9" x14ac:dyDescent="0.25">
      <c r="A27" s="5" t="s">
        <v>46</v>
      </c>
      <c r="B27" s="6" t="s">
        <v>56</v>
      </c>
      <c r="C27" s="7"/>
      <c r="D27" s="7"/>
      <c r="E27" s="7"/>
      <c r="F27" s="7"/>
      <c r="G27" s="7"/>
      <c r="H27" s="8"/>
      <c r="I27" s="9">
        <f>IF(COUNT(C27:G27)=0,"",ROUND(SUM(C27:G27)*(1+IFERROR(H27,0)/100),2))</f>
      </c>
    </row>
    <row r="28" spans="1:9" x14ac:dyDescent="0.25">
      <c r="A28" s="5" t="s">
        <v>46</v>
      </c>
      <c r="B28" s="6" t="s">
        <v>57</v>
      </c>
      <c r="C28" s="7"/>
      <c r="D28" s="7"/>
      <c r="E28" s="7"/>
      <c r="F28" s="7"/>
      <c r="G28" s="7"/>
      <c r="H28" s="8"/>
      <c r="I28" s="9">
        <f>IF(COUNT(C28:G28)=0,"",ROUND(SUM(C28:G28)*(1+IFERROR(H28,0)/100),2))</f>
      </c>
    </row>
    <row r="29" spans="1:9" x14ac:dyDescent="0.25">
      <c r="A29" s="5" t="s">
        <v>46</v>
      </c>
      <c r="B29" s="6" t="s">
        <v>58</v>
      </c>
      <c r="C29" s="7"/>
      <c r="D29" s="7"/>
      <c r="E29" s="7"/>
      <c r="F29" s="7"/>
      <c r="G29" s="7"/>
      <c r="H29" s="8"/>
      <c r="I29" s="9">
        <f>IF(COUNT(C29:G29)=0,"",ROUND(SUM(C29:G29)*(1+IFERROR(H29,0)/100),2))</f>
      </c>
    </row>
    <row r="30" spans="1:9" x14ac:dyDescent="0.25">
      <c r="A30" s="5" t="s">
        <v>46</v>
      </c>
      <c r="B30" s="6" t="s">
        <v>59</v>
      </c>
      <c r="C30" s="7"/>
      <c r="D30" s="7"/>
      <c r="E30" s="7"/>
      <c r="F30" s="7"/>
      <c r="G30" s="7"/>
      <c r="H30" s="8"/>
      <c r="I30" s="9">
        <f>IF(COUNT(C30:G30)=0,"",ROUND(SUM(C30:G30)*(1+IFERROR(H30,0)/100),2))</f>
      </c>
    </row>
    <row r="31" spans="1:9" x14ac:dyDescent="0.25">
      <c r="A31" s="5" t="s">
        <v>46</v>
      </c>
      <c r="B31" s="6" t="s">
        <v>60</v>
      </c>
      <c r="C31" s="7"/>
      <c r="D31" s="7"/>
      <c r="E31" s="7"/>
      <c r="F31" s="7"/>
      <c r="G31" s="7"/>
      <c r="H31" s="8"/>
      <c r="I31" s="9">
        <f>IF(COUNT(C31:G31)=0,"",ROUND(SUM(C31:G31)*(1+IFERROR(H31,0)/100),2))</f>
      </c>
    </row>
    <row r="32" spans="1:9" x14ac:dyDescent="0.25">
      <c r="A32" s="5" t="s">
        <v>46</v>
      </c>
      <c r="B32" s="6" t="s">
        <v>61</v>
      </c>
      <c r="C32" s="7"/>
      <c r="D32" s="7"/>
      <c r="E32" s="7"/>
      <c r="F32" s="7"/>
      <c r="G32" s="7"/>
      <c r="H32" s="8"/>
      <c r="I32" s="9">
        <f>IF(COUNT(C32:G32)=0,"",ROUND(SUM(C32:G32)*(1+IFERROR(H32,0)/100),2))</f>
      </c>
    </row>
    <row r="33" spans="1:9" x14ac:dyDescent="0.25">
      <c r="A33" s="5" t="s">
        <v>46</v>
      </c>
      <c r="B33" s="6" t="s">
        <v>62</v>
      </c>
      <c r="C33" s="7"/>
      <c r="D33" s="7"/>
      <c r="E33" s="7"/>
      <c r="F33" s="7"/>
      <c r="G33" s="7"/>
      <c r="H33" s="8"/>
      <c r="I33" s="9">
        <f>IF(COUNT(C33:G33)=0,"",ROUND(SUM(C33:G33)*(1+IFERROR(H33,0)/100),2))</f>
      </c>
    </row>
    <row r="34" spans="1:9" x14ac:dyDescent="0.25">
      <c r="A34" s="5" t="s">
        <v>46</v>
      </c>
      <c r="B34" s="6" t="s">
        <v>63</v>
      </c>
      <c r="C34" s="7"/>
      <c r="D34" s="7"/>
      <c r="E34" s="7"/>
      <c r="F34" s="7"/>
      <c r="G34" s="7"/>
      <c r="H34" s="8"/>
      <c r="I34" s="9">
        <f>IF(COUNT(C34:G34)=0,"",ROUND(SUM(C34:G34)*(1+IFERROR(H34,0)/100),2))</f>
      </c>
    </row>
    <row r="35" spans="1:9" x14ac:dyDescent="0.25">
      <c r="A35" s="5" t="s">
        <v>46</v>
      </c>
      <c r="B35" s="6" t="s">
        <v>64</v>
      </c>
      <c r="C35" s="7"/>
      <c r="D35" s="7"/>
      <c r="E35" s="7"/>
      <c r="F35" s="7"/>
      <c r="G35" s="7"/>
      <c r="H35" s="8"/>
      <c r="I35" s="9">
        <f>IF(COUNT(C35:G35)=0,"",ROUND(SUM(C35:G35)*(1+IFERROR(H35,0)/100),2))</f>
      </c>
    </row>
    <row r="36" spans="1:9" x14ac:dyDescent="0.25">
      <c r="A36" s="5" t="s">
        <v>46</v>
      </c>
      <c r="B36" s="6" t="s">
        <v>65</v>
      </c>
      <c r="C36" s="7"/>
      <c r="D36" s="7"/>
      <c r="E36" s="7"/>
      <c r="F36" s="7"/>
      <c r="G36" s="7"/>
      <c r="H36" s="8"/>
      <c r="I36" s="9">
        <f>IF(COUNT(C36:G36)=0,"",ROUND(SUM(C36:G36)*(1+IFERROR(H36,0)/100),2))</f>
      </c>
    </row>
    <row r="37" spans="1:9" x14ac:dyDescent="0.25">
      <c r="A37" s="5" t="s">
        <v>46</v>
      </c>
      <c r="B37" s="6" t="s">
        <v>66</v>
      </c>
      <c r="C37" s="7"/>
      <c r="D37" s="7"/>
      <c r="E37" s="7"/>
      <c r="F37" s="7"/>
      <c r="G37" s="7"/>
      <c r="H37" s="8"/>
      <c r="I37" s="9">
        <f>IF(COUNT(C37:G37)=0,"",ROUND(SUM(C37:G37)*(1+IFERROR(H37,0)/100),2))</f>
      </c>
    </row>
    <row r="38" spans="1:9" x14ac:dyDescent="0.25">
      <c r="A38" s="5" t="s">
        <v>46</v>
      </c>
      <c r="B38" s="6" t="s">
        <v>67</v>
      </c>
      <c r="C38" s="7"/>
      <c r="D38" s="7"/>
      <c r="E38" s="7"/>
      <c r="F38" s="7"/>
      <c r="G38" s="7"/>
      <c r="H38" s="8"/>
      <c r="I38" s="9">
        <f>IF(COUNT(C38:G38)=0,"",ROUND(SUM(C38:G38)*(1+IFERROR(H38,0)/100),2))</f>
      </c>
    </row>
    <row r="39" spans="1:9" x14ac:dyDescent="0.25">
      <c r="A39" s="5" t="s">
        <v>46</v>
      </c>
      <c r="B39" s="6" t="s">
        <v>68</v>
      </c>
      <c r="C39" s="7"/>
      <c r="D39" s="7"/>
      <c r="E39" s="7"/>
      <c r="F39" s="7"/>
      <c r="G39" s="7"/>
      <c r="H39" s="8"/>
      <c r="I39" s="9">
        <f>IF(COUNT(C39:G39)=0,"",ROUND(SUM(C39:G39)*(1+IFERROR(H39,0)/100),2))</f>
      </c>
    </row>
    <row r="40" spans="1:9" x14ac:dyDescent="0.25">
      <c r="A40" s="5" t="s">
        <v>46</v>
      </c>
      <c r="B40" s="6" t="s">
        <v>69</v>
      </c>
      <c r="C40" s="7"/>
      <c r="D40" s="7"/>
      <c r="E40" s="7"/>
      <c r="F40" s="7"/>
      <c r="G40" s="7"/>
      <c r="H40" s="8"/>
      <c r="I40" s="9">
        <f>IF(COUNT(C40:G40)=0,"",ROUND(SUM(C40:G40)*(1+IFERROR(H40,0)/100),2))</f>
      </c>
    </row>
    <row r="41" spans="1:9" x14ac:dyDescent="0.25">
      <c r="A41" s="5" t="s">
        <v>46</v>
      </c>
      <c r="B41" s="6" t="s">
        <v>70</v>
      </c>
      <c r="C41" s="7"/>
      <c r="D41" s="7"/>
      <c r="E41" s="7"/>
      <c r="F41" s="7"/>
      <c r="G41" s="7"/>
      <c r="H41" s="8"/>
      <c r="I41" s="9">
        <f>IF(COUNT(C41:G41)=0,"",ROUND(SUM(C41:G41)*(1+IFERROR(H41,0)/100),2))</f>
      </c>
    </row>
    <row r="42" spans="1:9" x14ac:dyDescent="0.25">
      <c r="A42" s="5" t="s">
        <v>46</v>
      </c>
      <c r="B42" s="6" t="s">
        <v>71</v>
      </c>
      <c r="C42" s="7"/>
      <c r="D42" s="7"/>
      <c r="E42" s="7"/>
      <c r="F42" s="7"/>
      <c r="G42" s="7"/>
      <c r="H42" s="8"/>
      <c r="I42" s="9">
        <f>IF(COUNT(C42:G42)=0,"",ROUND(SUM(C42:G42)*(1+IFERROR(H42,0)/100),2))</f>
      </c>
    </row>
    <row r="43" spans="1:9" x14ac:dyDescent="0.25">
      <c r="A43" s="5" t="s">
        <v>46</v>
      </c>
      <c r="B43" s="6" t="s">
        <v>72</v>
      </c>
      <c r="C43" s="7"/>
      <c r="D43" s="7"/>
      <c r="E43" s="7"/>
      <c r="F43" s="7"/>
      <c r="G43" s="7"/>
      <c r="H43" s="8"/>
      <c r="I43" s="9">
        <f>IF(COUNT(C43:G43)=0,"",ROUND(SUM(C43:G43)*(1+IFERROR(H43,0)/100),2))</f>
      </c>
    </row>
    <row r="44" spans="1:9" x14ac:dyDescent="0.25">
      <c r="A44" s="5" t="s">
        <v>46</v>
      </c>
      <c r="B44" s="6" t="s">
        <v>73</v>
      </c>
      <c r="C44" s="7"/>
      <c r="D44" s="7"/>
      <c r="E44" s="7"/>
      <c r="F44" s="7"/>
      <c r="G44" s="7"/>
      <c r="H44" s="8"/>
      <c r="I44" s="9">
        <f>IF(COUNT(C44:G44)=0,"",ROUND(SUM(C44:G44)*(1+IFERROR(H44,0)/100),2))</f>
      </c>
    </row>
    <row r="45" spans="1:9" x14ac:dyDescent="0.25">
      <c r="A45" s="5" t="s">
        <v>74</v>
      </c>
      <c r="B45" s="6" t="s">
        <v>75</v>
      </c>
      <c r="C45" s="7"/>
      <c r="D45" s="7"/>
      <c r="E45" s="7"/>
      <c r="F45" s="7"/>
      <c r="G45" s="7"/>
      <c r="H45" s="8"/>
      <c r="I45" s="9">
        <f>IF(COUNT(C45:G45)=0,"",ROUND(SUM(C45:G45)*(1+IFERROR(H45,0)/100),2))</f>
      </c>
    </row>
    <row r="46" spans="1:9" x14ac:dyDescent="0.25">
      <c r="A46" s="5" t="s">
        <v>74</v>
      </c>
      <c r="B46" s="6" t="s">
        <v>76</v>
      </c>
      <c r="C46" s="7"/>
      <c r="D46" s="7"/>
      <c r="E46" s="7"/>
      <c r="F46" s="7"/>
      <c r="G46" s="7"/>
      <c r="H46" s="8"/>
      <c r="I46" s="9">
        <f>IF(COUNT(C46:G46)=0,"",ROUND(SUM(C46:G46)*(1+IFERROR(H46,0)/100),2))</f>
      </c>
    </row>
    <row r="47" spans="1:9" x14ac:dyDescent="0.25">
      <c r="A47" s="5" t="s">
        <v>74</v>
      </c>
      <c r="B47" s="6" t="s">
        <v>77</v>
      </c>
      <c r="C47" s="7"/>
      <c r="D47" s="7"/>
      <c r="E47" s="7"/>
      <c r="F47" s="7"/>
      <c r="G47" s="7"/>
      <c r="H47" s="8"/>
      <c r="I47" s="9">
        <f>IF(COUNT(C47:G47)=0,"",ROUND(SUM(C47:G47)*(1+IFERROR(H47,0)/100),2))</f>
      </c>
    </row>
    <row r="48" spans="1:9" x14ac:dyDescent="0.25">
      <c r="A48" s="5" t="s">
        <v>74</v>
      </c>
      <c r="B48" s="6" t="s">
        <v>78</v>
      </c>
      <c r="C48" s="7"/>
      <c r="D48" s="7"/>
      <c r="E48" s="7"/>
      <c r="F48" s="7"/>
      <c r="G48" s="7"/>
      <c r="H48" s="8"/>
      <c r="I48" s="9">
        <f>IF(COUNT(C48:G48)=0,"",ROUND(SUM(C48:G48)*(1+IFERROR(H48,0)/100),2))</f>
      </c>
    </row>
    <row r="49" spans="1:9" x14ac:dyDescent="0.25">
      <c r="A49" s="5" t="s">
        <v>74</v>
      </c>
      <c r="B49" s="6" t="s">
        <v>79</v>
      </c>
      <c r="C49" s="7"/>
      <c r="D49" s="7"/>
      <c r="E49" s="7"/>
      <c r="F49" s="7"/>
      <c r="G49" s="7"/>
      <c r="H49" s="8"/>
      <c r="I49" s="9">
        <f>IF(COUNT(C49:G49)=0,"",ROUND(SUM(C49:G49)*(1+IFERROR(H49,0)/100),2))</f>
      </c>
    </row>
    <row r="50" spans="1:9" x14ac:dyDescent="0.25">
      <c r="A50" s="5" t="s">
        <v>74</v>
      </c>
      <c r="B50" s="6" t="s">
        <v>80</v>
      </c>
      <c r="C50" s="7"/>
      <c r="D50" s="7"/>
      <c r="E50" s="7"/>
      <c r="F50" s="7"/>
      <c r="G50" s="7"/>
      <c r="H50" s="8"/>
      <c r="I50" s="9">
        <f>IF(COUNT(C50:G50)=0,"",ROUND(SUM(C50:G50)*(1+IFERROR(H50,0)/100),2))</f>
      </c>
    </row>
    <row r="51" spans="1:9" x14ac:dyDescent="0.25">
      <c r="A51" s="5" t="s">
        <v>74</v>
      </c>
      <c r="B51" s="6" t="s">
        <v>81</v>
      </c>
      <c r="C51" s="7"/>
      <c r="D51" s="7"/>
      <c r="E51" s="7"/>
      <c r="F51" s="7"/>
      <c r="G51" s="7"/>
      <c r="H51" s="8"/>
      <c r="I51" s="9">
        <f>IF(COUNT(C51:G51)=0,"",ROUND(SUM(C51:G51)*(1+IFERROR(H51,0)/100),2))</f>
      </c>
    </row>
    <row r="52" spans="1:9" x14ac:dyDescent="0.25">
      <c r="A52" s="5" t="s">
        <v>74</v>
      </c>
      <c r="B52" s="6" t="s">
        <v>82</v>
      </c>
      <c r="C52" s="7"/>
      <c r="D52" s="7"/>
      <c r="E52" s="7"/>
      <c r="F52" s="7"/>
      <c r="G52" s="7"/>
      <c r="H52" s="8"/>
      <c r="I52" s="9">
        <f>IF(COUNT(C52:G52)=0,"",ROUND(SUM(C52:G52)*(1+IFERROR(H52,0)/100),2))</f>
      </c>
    </row>
    <row r="53" spans="1:9" x14ac:dyDescent="0.25">
      <c r="A53" s="5" t="s">
        <v>83</v>
      </c>
      <c r="B53" s="6" t="s">
        <v>84</v>
      </c>
      <c r="C53" s="7"/>
      <c r="D53" s="7"/>
      <c r="E53" s="7"/>
      <c r="F53" s="7"/>
      <c r="G53" s="7"/>
      <c r="H53" s="8"/>
      <c r="I53" s="9">
        <f>IF(COUNT(C53:G53)=0,"",ROUND(SUM(C53:G53)*(1+IFERROR(H53,0)/100),2))</f>
      </c>
    </row>
    <row r="54" spans="1:9" x14ac:dyDescent="0.25">
      <c r="A54" s="5" t="s">
        <v>83</v>
      </c>
      <c r="B54" s="6" t="s">
        <v>85</v>
      </c>
      <c r="C54" s="7"/>
      <c r="D54" s="7"/>
      <c r="E54" s="7"/>
      <c r="F54" s="7"/>
      <c r="G54" s="7"/>
      <c r="H54" s="8"/>
      <c r="I54" s="9">
        <f>IF(COUNT(C54:G54)=0,"",ROUND(SUM(C54:G54)*(1+IFERROR(H54,0)/100),2))</f>
      </c>
    </row>
    <row r="55" spans="1:9" x14ac:dyDescent="0.25">
      <c r="A55" s="5" t="s">
        <v>83</v>
      </c>
      <c r="B55" s="6" t="s">
        <v>86</v>
      </c>
      <c r="C55" s="7"/>
      <c r="D55" s="7"/>
      <c r="E55" s="7"/>
      <c r="F55" s="7"/>
      <c r="G55" s="7"/>
      <c r="H55" s="8"/>
      <c r="I55" s="9">
        <f>IF(COUNT(C55:G55)=0,"",ROUND(SUM(C55:G55)*(1+IFERROR(H55,0)/100),2))</f>
      </c>
    </row>
    <row r="56" spans="1:9" x14ac:dyDescent="0.25">
      <c r="A56" s="5" t="s">
        <v>83</v>
      </c>
      <c r="B56" s="6" t="s">
        <v>87</v>
      </c>
      <c r="C56" s="7"/>
      <c r="D56" s="7"/>
      <c r="E56" s="7"/>
      <c r="F56" s="7"/>
      <c r="G56" s="7"/>
      <c r="H56" s="8"/>
      <c r="I56" s="9">
        <f>IF(COUNT(C56:G56)=0,"",ROUND(SUM(C56:G56)*(1+IFERROR(H56,0)/100),2))</f>
      </c>
    </row>
    <row r="57" spans="1:9" x14ac:dyDescent="0.25">
      <c r="A57" s="5" t="s">
        <v>88</v>
      </c>
      <c r="B57" s="6" t="s">
        <v>89</v>
      </c>
      <c r="C57" s="7"/>
      <c r="D57" s="7"/>
      <c r="E57" s="7"/>
      <c r="F57" s="7"/>
      <c r="G57" s="7"/>
      <c r="H57" s="8"/>
      <c r="I57" s="9">
        <f>IF(COUNT(C57:G57)=0,"",ROUND(SUM(C57:G57)*(1+IFERROR(H57,0)/100),2))</f>
      </c>
    </row>
    <row r="58" spans="1:9" x14ac:dyDescent="0.25">
      <c r="A58" s="5" t="s">
        <v>88</v>
      </c>
      <c r="B58" s="6" t="s">
        <v>90</v>
      </c>
      <c r="C58" s="7"/>
      <c r="D58" s="7"/>
      <c r="E58" s="7"/>
      <c r="F58" s="7"/>
      <c r="G58" s="7"/>
      <c r="H58" s="8"/>
      <c r="I58" s="9">
        <f>IF(COUNT(C58:G58)=0,"",ROUND(SUM(C58:G58)*(1+IFERROR(H58,0)/100),2))</f>
      </c>
    </row>
    <row r="59" spans="1:9" x14ac:dyDescent="0.25">
      <c r="A59" s="5" t="s">
        <v>88</v>
      </c>
      <c r="B59" s="6" t="s">
        <v>91</v>
      </c>
      <c r="C59" s="7"/>
      <c r="D59" s="7"/>
      <c r="E59" s="7"/>
      <c r="F59" s="7"/>
      <c r="G59" s="7"/>
      <c r="H59" s="8"/>
      <c r="I59" s="9">
        <f>IF(COUNT(C59:G59)=0,"",ROUND(SUM(C59:G59)*(1+IFERROR(H59,0)/100),2))</f>
      </c>
    </row>
    <row r="60" spans="1:9" x14ac:dyDescent="0.25">
      <c r="A60" s="5" t="s">
        <v>88</v>
      </c>
      <c r="B60" s="6" t="s">
        <v>92</v>
      </c>
      <c r="C60" s="7"/>
      <c r="D60" s="7"/>
      <c r="E60" s="7"/>
      <c r="F60" s="7"/>
      <c r="G60" s="7"/>
      <c r="H60" s="8"/>
      <c r="I60" s="9">
        <f>IF(COUNT(C60:G60)=0,"",ROUND(SUM(C60:G60)*(1+IFERROR(H60,0)/100),2))</f>
      </c>
    </row>
    <row r="61" spans="1:9" x14ac:dyDescent="0.25">
      <c r="A61" s="5" t="s">
        <v>88</v>
      </c>
      <c r="B61" s="6" t="s">
        <v>93</v>
      </c>
      <c r="C61" s="7"/>
      <c r="D61" s="7"/>
      <c r="E61" s="7"/>
      <c r="F61" s="7"/>
      <c r="G61" s="7"/>
      <c r="H61" s="8"/>
      <c r="I61" s="9">
        <f>IF(COUNT(C61:G61)=0,"",ROUND(SUM(C61:G61)*(1+IFERROR(H61,0)/100),2))</f>
      </c>
    </row>
    <row r="62" spans="1:9" x14ac:dyDescent="0.25">
      <c r="A62" s="5" t="s">
        <v>88</v>
      </c>
      <c r="B62" s="6" t="s">
        <v>94</v>
      </c>
      <c r="C62" s="7"/>
      <c r="D62" s="7"/>
      <c r="E62" s="7"/>
      <c r="F62" s="7"/>
      <c r="G62" s="7"/>
      <c r="H62" s="8"/>
      <c r="I62" s="9">
        <f>IF(COUNT(C62:G62)=0,"",ROUND(SUM(C62:G62)*(1+IFERROR(H62,0)/100),2))</f>
      </c>
    </row>
    <row r="63" spans="1:9" x14ac:dyDescent="0.25">
      <c r="A63" s="5" t="s">
        <v>88</v>
      </c>
      <c r="B63" s="6" t="s">
        <v>95</v>
      </c>
      <c r="C63" s="7"/>
      <c r="D63" s="7"/>
      <c r="E63" s="7"/>
      <c r="F63" s="7"/>
      <c r="G63" s="7"/>
      <c r="H63" s="8"/>
      <c r="I63" s="9">
        <f>IF(COUNT(C63:G63)=0,"",ROUND(SUM(C63:G63)*(1+IFERROR(H63,0)/100),2))</f>
      </c>
    </row>
    <row r="64" spans="1:9" x14ac:dyDescent="0.25">
      <c r="A64" s="5" t="s">
        <v>88</v>
      </c>
      <c r="B64" s="6" t="s">
        <v>96</v>
      </c>
      <c r="C64" s="7"/>
      <c r="D64" s="7"/>
      <c r="E64" s="7"/>
      <c r="F64" s="7"/>
      <c r="G64" s="7"/>
      <c r="H64" s="8"/>
      <c r="I64" s="9">
        <f>IF(COUNT(C64:G64)=0,"",ROUND(SUM(C64:G64)*(1+IFERROR(H64,0)/100),2))</f>
      </c>
    </row>
    <row r="65" spans="1:9" x14ac:dyDescent="0.25">
      <c r="A65" s="5" t="s">
        <v>88</v>
      </c>
      <c r="B65" s="6" t="s">
        <v>97</v>
      </c>
      <c r="C65" s="7"/>
      <c r="D65" s="7"/>
      <c r="E65" s="7"/>
      <c r="F65" s="7"/>
      <c r="G65" s="7"/>
      <c r="H65" s="8"/>
      <c r="I65" s="9">
        <f>IF(COUNT(C65:G65)=0,"",ROUND(SUM(C65:G65)*(1+IFERROR(H65,0)/100),2))</f>
      </c>
    </row>
    <row r="66" spans="1:9" x14ac:dyDescent="0.25">
      <c r="A66" s="5" t="s">
        <v>88</v>
      </c>
      <c r="B66" s="6" t="s">
        <v>98</v>
      </c>
      <c r="C66" s="7"/>
      <c r="D66" s="7"/>
      <c r="E66" s="7"/>
      <c r="F66" s="7"/>
      <c r="G66" s="7"/>
      <c r="H66" s="8"/>
      <c r="I66" s="9">
        <f>IF(COUNT(C66:G66)=0,"",ROUND(SUM(C66:G66)*(1+IFERROR(H66,0)/100),2))</f>
      </c>
    </row>
    <row r="67" spans="1:9" x14ac:dyDescent="0.25">
      <c r="A67" s="5" t="s">
        <v>88</v>
      </c>
      <c r="B67" s="6" t="s">
        <v>99</v>
      </c>
      <c r="C67" s="7"/>
      <c r="D67" s="7"/>
      <c r="E67" s="7"/>
      <c r="F67" s="7"/>
      <c r="G67" s="7"/>
      <c r="H67" s="8"/>
      <c r="I67" s="9">
        <f>IF(COUNT(C67:G67)=0,"",ROUND(SUM(C67:G67)*(1+IFERROR(H67,0)/100),2))</f>
      </c>
    </row>
    <row r="68" spans="1:9" x14ac:dyDescent="0.25">
      <c r="A68" s="5" t="s">
        <v>88</v>
      </c>
      <c r="B68" s="6" t="s">
        <v>100</v>
      </c>
      <c r="C68" s="7"/>
      <c r="D68" s="7"/>
      <c r="E68" s="7"/>
      <c r="F68" s="7"/>
      <c r="G68" s="7"/>
      <c r="H68" s="8"/>
      <c r="I68" s="9">
        <f>IF(COUNT(C68:G68)=0,"",ROUND(SUM(C68:G68)*(1+IFERROR(H68,0)/100),2))</f>
      </c>
    </row>
    <row r="69" spans="1:9" x14ac:dyDescent="0.25">
      <c r="A69" s="5" t="s">
        <v>101</v>
      </c>
      <c r="B69" s="6" t="s">
        <v>102</v>
      </c>
      <c r="C69" s="7"/>
      <c r="D69" s="7"/>
      <c r="E69" s="7"/>
      <c r="F69" s="7"/>
      <c r="G69" s="7"/>
      <c r="H69" s="8"/>
      <c r="I69" s="9">
        <f>IF(COUNT(C69:G69)=0,"",ROUND(SUM(C69:G69)*(1+IFERROR(H69,0)/100),2))</f>
      </c>
    </row>
    <row r="70" spans="1:9" x14ac:dyDescent="0.25">
      <c r="A70" s="5" t="s">
        <v>101</v>
      </c>
      <c r="B70" s="6" t="s">
        <v>103</v>
      </c>
      <c r="C70" s="7"/>
      <c r="D70" s="7"/>
      <c r="E70" s="7"/>
      <c r="F70" s="7"/>
      <c r="G70" s="7"/>
      <c r="H70" s="8"/>
      <c r="I70" s="9">
        <f>IF(COUNT(C70:G70)=0,"",ROUND(SUM(C70:G70)*(1+IFERROR(H70,0)/100),2))</f>
      </c>
    </row>
    <row r="71" spans="1:9" x14ac:dyDescent="0.25">
      <c r="A71" s="5" t="s">
        <v>101</v>
      </c>
      <c r="B71" s="6" t="s">
        <v>104</v>
      </c>
      <c r="C71" s="7"/>
      <c r="D71" s="7"/>
      <c r="E71" s="7"/>
      <c r="F71" s="7"/>
      <c r="G71" s="7"/>
      <c r="H71" s="8"/>
      <c r="I71" s="9">
        <f>IF(COUNT(C71:G71)=0,"",ROUND(SUM(C71:G71)*(1+IFERROR(H71,0)/100),2))</f>
      </c>
    </row>
    <row r="72" spans="1:9" x14ac:dyDescent="0.25">
      <c r="A72" s="5" t="s">
        <v>101</v>
      </c>
      <c r="B72" s="6" t="s">
        <v>105</v>
      </c>
      <c r="C72" s="7"/>
      <c r="D72" s="7"/>
      <c r="E72" s="7"/>
      <c r="F72" s="7"/>
      <c r="G72" s="7"/>
      <c r="H72" s="8"/>
      <c r="I72" s="9">
        <f>IF(COUNT(C72:G72)=0,"",ROUND(SUM(C72:G72)*(1+IFERROR(H72,0)/100),2))</f>
      </c>
    </row>
    <row r="73" spans="1:9" x14ac:dyDescent="0.25">
      <c r="A73" s="5" t="s">
        <v>101</v>
      </c>
      <c r="B73" s="6" t="s">
        <v>106</v>
      </c>
      <c r="C73" s="7"/>
      <c r="D73" s="7"/>
      <c r="E73" s="7"/>
      <c r="F73" s="7"/>
      <c r="G73" s="7"/>
      <c r="H73" s="8"/>
      <c r="I73" s="9">
        <f>IF(COUNT(C73:G73)=0,"",ROUND(SUM(C73:G73)*(1+IFERROR(H73,0)/100),2))</f>
      </c>
    </row>
    <row r="74" spans="1:9" x14ac:dyDescent="0.25">
      <c r="A74" s="5" t="s">
        <v>101</v>
      </c>
      <c r="B74" s="6" t="s">
        <v>107</v>
      </c>
      <c r="C74" s="7"/>
      <c r="D74" s="7"/>
      <c r="E74" s="7"/>
      <c r="F74" s="7"/>
      <c r="G74" s="7"/>
      <c r="H74" s="8"/>
      <c r="I74" s="9">
        <f>IF(COUNT(C74:G74)=0,"",ROUND(SUM(C74:G74)*(1+IFERROR(H74,0)/100),2))</f>
      </c>
    </row>
    <row r="75" spans="1:9" x14ac:dyDescent="0.25">
      <c r="A75" s="5" t="s">
        <v>101</v>
      </c>
      <c r="B75" s="6" t="s">
        <v>108</v>
      </c>
      <c r="C75" s="7"/>
      <c r="D75" s="7"/>
      <c r="E75" s="7"/>
      <c r="F75" s="7"/>
      <c r="G75" s="7"/>
      <c r="H75" s="8"/>
      <c r="I75" s="9">
        <f>IF(COUNT(C75:G75)=0,"",ROUND(SUM(C75:G75)*(1+IFERROR(H75,0)/100),2))</f>
      </c>
    </row>
    <row r="76" spans="1:9" x14ac:dyDescent="0.25">
      <c r="A76" s="5" t="s">
        <v>109</v>
      </c>
      <c r="B76" s="6" t="s">
        <v>110</v>
      </c>
      <c r="C76" s="7"/>
      <c r="D76" s="7"/>
      <c r="E76" s="7"/>
      <c r="F76" s="7"/>
      <c r="G76" s="7"/>
      <c r="H76" s="8"/>
      <c r="I76" s="9">
        <f>IF(COUNT(C76:G76)=0,"",ROUND(SUM(C76:G76)*(1+IFERROR(H76,0)/100),2))</f>
      </c>
    </row>
    <row r="77" spans="1:9" x14ac:dyDescent="0.25">
      <c r="A77" s="5" t="s">
        <v>109</v>
      </c>
      <c r="B77" s="6" t="s">
        <v>111</v>
      </c>
      <c r="C77" s="7"/>
      <c r="D77" s="7"/>
      <c r="E77" s="7"/>
      <c r="F77" s="7"/>
      <c r="G77" s="7"/>
      <c r="H77" s="8"/>
      <c r="I77" s="9">
        <f>IF(COUNT(C77:G77)=0,"",ROUND(SUM(C77:G77)*(1+IFERROR(H77,0)/100),2))</f>
      </c>
    </row>
    <row r="78" spans="1:9" x14ac:dyDescent="0.25">
      <c r="A78" s="5" t="s">
        <v>109</v>
      </c>
      <c r="B78" s="6" t="s">
        <v>112</v>
      </c>
      <c r="C78" s="7"/>
      <c r="D78" s="7"/>
      <c r="E78" s="7"/>
      <c r="F78" s="7"/>
      <c r="G78" s="7"/>
      <c r="H78" s="8"/>
      <c r="I78" s="9">
        <f>IF(COUNT(C78:G78)=0,"",ROUND(SUM(C78:G78)*(1+IFERROR(H78,0)/100),2))</f>
      </c>
    </row>
    <row r="79" spans="1:9" x14ac:dyDescent="0.25">
      <c r="A79" s="5" t="s">
        <v>109</v>
      </c>
      <c r="B79" s="6" t="s">
        <v>113</v>
      </c>
      <c r="C79" s="7"/>
      <c r="D79" s="7"/>
      <c r="E79" s="7"/>
      <c r="F79" s="7"/>
      <c r="G79" s="7"/>
      <c r="H79" s="8"/>
      <c r="I79" s="9">
        <f>IF(COUNT(C79:G79)=0,"",ROUND(SUM(C79:G79)*(1+IFERROR(H79,0)/100),2))</f>
      </c>
    </row>
    <row r="80" spans="1:9" x14ac:dyDescent="0.25">
      <c r="A80" s="5" t="s">
        <v>109</v>
      </c>
      <c r="B80" s="6" t="s">
        <v>114</v>
      </c>
      <c r="C80" s="7"/>
      <c r="D80" s="7"/>
      <c r="E80" s="7"/>
      <c r="F80" s="7"/>
      <c r="G80" s="7"/>
      <c r="H80" s="8"/>
      <c r="I80" s="9">
        <f>IF(COUNT(C80:G80)=0,"",ROUND(SUM(C80:G80)*(1+IFERROR(H80,0)/100),2))</f>
      </c>
    </row>
    <row r="81" spans="1:9" x14ac:dyDescent="0.25">
      <c r="A81" s="5" t="s">
        <v>109</v>
      </c>
      <c r="B81" s="6" t="s">
        <v>115</v>
      </c>
      <c r="C81" s="7"/>
      <c r="D81" s="7"/>
      <c r="E81" s="7"/>
      <c r="F81" s="7"/>
      <c r="G81" s="7"/>
      <c r="H81" s="8"/>
      <c r="I81" s="9">
        <f>IF(COUNT(C81:G81)=0,"",ROUND(SUM(C81:G81)*(1+IFERROR(H81,0)/100),2))</f>
      </c>
    </row>
    <row r="82" spans="1:9" x14ac:dyDescent="0.25">
      <c r="A82" s="5" t="s">
        <v>109</v>
      </c>
      <c r="B82" s="6" t="s">
        <v>116</v>
      </c>
      <c r="C82" s="7"/>
      <c r="D82" s="7"/>
      <c r="E82" s="7"/>
      <c r="F82" s="7"/>
      <c r="G82" s="7"/>
      <c r="H82" s="8"/>
      <c r="I82" s="9">
        <f>IF(COUNT(C82:G82)=0,"",ROUND(SUM(C82:G82)*(1+IFERROR(H82,0)/100),2))</f>
      </c>
    </row>
    <row r="83" spans="1:9" x14ac:dyDescent="0.25">
      <c r="A83" s="5" t="s">
        <v>109</v>
      </c>
      <c r="B83" s="6" t="s">
        <v>117</v>
      </c>
      <c r="C83" s="7"/>
      <c r="D83" s="7"/>
      <c r="E83" s="7"/>
      <c r="F83" s="7"/>
      <c r="G83" s="7"/>
      <c r="H83" s="8"/>
      <c r="I83" s="9">
        <f>IF(COUNT(C83:G83)=0,"",ROUND(SUM(C83:G83)*(1+IFERROR(H83,0)/100),2))</f>
      </c>
    </row>
    <row r="84" spans="1:9" x14ac:dyDescent="0.25">
      <c r="A84" s="5" t="s">
        <v>118</v>
      </c>
      <c r="B84" s="6" t="s">
        <v>119</v>
      </c>
      <c r="C84" s="7"/>
      <c r="D84" s="7"/>
      <c r="E84" s="7"/>
      <c r="F84" s="7"/>
      <c r="G84" s="7"/>
      <c r="H84" s="8"/>
      <c r="I84" s="9">
        <f>IF(COUNT(C84:G84)=0,"",ROUND(SUM(C84:G84)*(1+IFERROR(H84,0)/100),2))</f>
      </c>
    </row>
    <row r="85" spans="1:9" x14ac:dyDescent="0.25">
      <c r="A85" s="5" t="s">
        <v>118</v>
      </c>
      <c r="B85" s="6" t="s">
        <v>120</v>
      </c>
      <c r="C85" s="7"/>
      <c r="D85" s="7"/>
      <c r="E85" s="7"/>
      <c r="F85" s="7"/>
      <c r="G85" s="7"/>
      <c r="H85" s="8"/>
      <c r="I85" s="9">
        <f>IF(COUNT(C85:G85)=0,"",ROUND(SUM(C85:G85)*(1+IFERROR(H85,0)/100),2))</f>
      </c>
    </row>
    <row r="86" spans="1:9" x14ac:dyDescent="0.25">
      <c r="A86" s="5" t="s">
        <v>118</v>
      </c>
      <c r="B86" s="6" t="s">
        <v>121</v>
      </c>
      <c r="C86" s="7"/>
      <c r="D86" s="7"/>
      <c r="E86" s="7"/>
      <c r="F86" s="7"/>
      <c r="G86" s="7"/>
      <c r="H86" s="8"/>
      <c r="I86" s="9">
        <f>IF(COUNT(C86:G86)=0,"",ROUND(SUM(C86:G86)*(1+IFERROR(H86,0)/100),2))</f>
      </c>
    </row>
    <row r="87" spans="1:9" x14ac:dyDescent="0.25">
      <c r="A87" s="5" t="s">
        <v>118</v>
      </c>
      <c r="B87" s="6" t="s">
        <v>122</v>
      </c>
      <c r="C87" s="7"/>
      <c r="D87" s="7"/>
      <c r="E87" s="7"/>
      <c r="F87" s="7"/>
      <c r="G87" s="7"/>
      <c r="H87" s="8"/>
      <c r="I87" s="9">
        <f>IF(COUNT(C87:G87)=0,"",ROUND(SUM(C87:G87)*(1+IFERROR(H87,0)/100),2))</f>
      </c>
    </row>
    <row r="88" spans="1:9" x14ac:dyDescent="0.25">
      <c r="A88" s="5" t="s">
        <v>118</v>
      </c>
      <c r="B88" s="6" t="s">
        <v>123</v>
      </c>
      <c r="C88" s="7"/>
      <c r="D88" s="7"/>
      <c r="E88" s="7"/>
      <c r="F88" s="7"/>
      <c r="G88" s="7"/>
      <c r="H88" s="8"/>
      <c r="I88" s="9">
        <f>IF(COUNT(C88:G88)=0,"",ROUND(SUM(C88:G88)*(1+IFERROR(H88,0)/100),2))</f>
      </c>
    </row>
    <row r="89" spans="1:9" x14ac:dyDescent="0.25">
      <c r="A89" s="5" t="s">
        <v>118</v>
      </c>
      <c r="B89" s="6" t="s">
        <v>124</v>
      </c>
      <c r="C89" s="7"/>
      <c r="D89" s="7"/>
      <c r="E89" s="7"/>
      <c r="F89" s="7"/>
      <c r="G89" s="7"/>
      <c r="H89" s="8"/>
      <c r="I89" s="9">
        <f>IF(COUNT(C89:G89)=0,"",ROUND(SUM(C89:G89)*(1+IFERROR(H89,0)/100),2))</f>
      </c>
    </row>
    <row r="90" spans="1:9" x14ac:dyDescent="0.25">
      <c r="A90" s="5" t="s">
        <v>118</v>
      </c>
      <c r="B90" s="6" t="s">
        <v>125</v>
      </c>
      <c r="C90" s="7"/>
      <c r="D90" s="7"/>
      <c r="E90" s="7"/>
      <c r="F90" s="7"/>
      <c r="G90" s="7"/>
      <c r="H90" s="8"/>
      <c r="I90" s="9">
        <f>IF(COUNT(C90:G90)=0,"",ROUND(SUM(C90:G90)*(1+IFERROR(H90,0)/100),2))</f>
      </c>
    </row>
    <row r="91" spans="1:9" x14ac:dyDescent="0.25">
      <c r="A91" s="5" t="s">
        <v>118</v>
      </c>
      <c r="B91" s="6" t="s">
        <v>126</v>
      </c>
      <c r="C91" s="7"/>
      <c r="D91" s="7"/>
      <c r="E91" s="7"/>
      <c r="F91" s="7"/>
      <c r="G91" s="7"/>
      <c r="H91" s="8"/>
      <c r="I91" s="9">
        <f>IF(COUNT(C91:G91)=0,"",ROUND(SUM(C91:G91)*(1+IFERROR(H91,0)/100),2))</f>
      </c>
    </row>
    <row r="92" spans="1:9" x14ac:dyDescent="0.25">
      <c r="A92" s="5" t="s">
        <v>118</v>
      </c>
      <c r="B92" s="6" t="s">
        <v>127</v>
      </c>
      <c r="C92" s="7"/>
      <c r="D92" s="7"/>
      <c r="E92" s="7"/>
      <c r="F92" s="7"/>
      <c r="G92" s="7"/>
      <c r="H92" s="8"/>
      <c r="I92" s="9">
        <f>IF(COUNT(C92:G92)=0,"",ROUND(SUM(C92:G92)*(1+IFERROR(H92,0)/100),2))</f>
      </c>
    </row>
    <row r="93" spans="1:9" x14ac:dyDescent="0.25">
      <c r="A93" s="5" t="s">
        <v>128</v>
      </c>
      <c r="B93" s="6" t="s">
        <v>129</v>
      </c>
      <c r="C93" s="7"/>
      <c r="D93" s="7"/>
      <c r="E93" s="7"/>
      <c r="F93" s="7"/>
      <c r="G93" s="7"/>
      <c r="H93" s="8"/>
      <c r="I93" s="9">
        <f>IF(COUNT(C93:G93)=0,"",ROUND(SUM(C93:G93)*(1+IFERROR(H93,0)/100),2))</f>
      </c>
    </row>
    <row r="94" spans="1:9" x14ac:dyDescent="0.25">
      <c r="A94" s="5" t="s">
        <v>128</v>
      </c>
      <c r="B94" s="6" t="s">
        <v>130</v>
      </c>
      <c r="C94" s="7"/>
      <c r="D94" s="7"/>
      <c r="E94" s="7"/>
      <c r="F94" s="7"/>
      <c r="G94" s="7"/>
      <c r="H94" s="8"/>
      <c r="I94" s="9">
        <f>IF(COUNT(C94:G94)=0,"",ROUND(SUM(C94:G94)*(1+IFERROR(H94,0)/100),2))</f>
      </c>
    </row>
    <row r="95" spans="1:9" x14ac:dyDescent="0.25">
      <c r="A95" s="5" t="s">
        <v>128</v>
      </c>
      <c r="B95" s="6" t="s">
        <v>131</v>
      </c>
      <c r="C95" s="7"/>
      <c r="D95" s="7"/>
      <c r="E95" s="7"/>
      <c r="F95" s="7"/>
      <c r="G95" s="7"/>
      <c r="H95" s="8"/>
      <c r="I95" s="9">
        <f>IF(COUNT(C95:G95)=0,"",ROUND(SUM(C95:G95)*(1+IFERROR(H95,0)/100),2))</f>
      </c>
    </row>
    <row r="96" spans="1:9" x14ac:dyDescent="0.25">
      <c r="A96" s="5" t="s">
        <v>128</v>
      </c>
      <c r="B96" s="6" t="s">
        <v>132</v>
      </c>
      <c r="C96" s="7"/>
      <c r="D96" s="7"/>
      <c r="E96" s="7"/>
      <c r="F96" s="7"/>
      <c r="G96" s="7"/>
      <c r="H96" s="8"/>
      <c r="I96" s="9">
        <f>IF(COUNT(C96:G96)=0,"",ROUND(SUM(C96:G96)*(1+IFERROR(H96,0)/100),2))</f>
      </c>
    </row>
    <row r="97" spans="1:9" x14ac:dyDescent="0.25">
      <c r="A97" s="5" t="s">
        <v>128</v>
      </c>
      <c r="B97" s="6" t="s">
        <v>133</v>
      </c>
      <c r="C97" s="7"/>
      <c r="D97" s="7"/>
      <c r="E97" s="7"/>
      <c r="F97" s="7"/>
      <c r="G97" s="7"/>
      <c r="H97" s="8"/>
      <c r="I97" s="9">
        <f>IF(COUNT(C97:G97)=0,"",ROUND(SUM(C97:G97)*(1+IFERROR(H97,0)/100),2))</f>
      </c>
    </row>
    <row r="98" spans="1:9" x14ac:dyDescent="0.25">
      <c r="A98" s="5" t="s">
        <v>128</v>
      </c>
      <c r="B98" s="6" t="s">
        <v>134</v>
      </c>
      <c r="C98" s="7"/>
      <c r="D98" s="7"/>
      <c r="E98" s="7"/>
      <c r="F98" s="7"/>
      <c r="G98" s="7"/>
      <c r="H98" s="8"/>
      <c r="I98" s="9">
        <f>IF(COUNT(C98:G98)=0,"",ROUND(SUM(C98:G98)*(1+IFERROR(H98,0)/100),2))</f>
      </c>
    </row>
    <row r="99" spans="1:9" x14ac:dyDescent="0.25">
      <c r="A99" s="5" t="s">
        <v>128</v>
      </c>
      <c r="B99" s="6" t="s">
        <v>135</v>
      </c>
      <c r="C99" s="7"/>
      <c r="D99" s="7"/>
      <c r="E99" s="7"/>
      <c r="F99" s="7"/>
      <c r="G99" s="7"/>
      <c r="H99" s="8"/>
      <c r="I99" s="9">
        <f>IF(COUNT(C99:G99)=0,"",ROUND(SUM(C99:G99)*(1+IFERROR(H99,0)/100),2))</f>
      </c>
    </row>
    <row r="100" spans="1:9" x14ac:dyDescent="0.25">
      <c r="A100" s="5" t="s">
        <v>128</v>
      </c>
      <c r="B100" s="6" t="s">
        <v>136</v>
      </c>
      <c r="C100" s="7"/>
      <c r="D100" s="7"/>
      <c r="E100" s="7"/>
      <c r="F100" s="7"/>
      <c r="G100" s="7"/>
      <c r="H100" s="8"/>
      <c r="I100" s="9">
        <f>IF(COUNT(C100:G100)=0,"",ROUND(SUM(C100:G100)*(1+IFERROR(H100,0)/100),2))</f>
      </c>
    </row>
    <row r="101" spans="1:9" x14ac:dyDescent="0.25">
      <c r="A101" s="5" t="s">
        <v>137</v>
      </c>
      <c r="B101" s="6" t="s">
        <v>138</v>
      </c>
      <c r="C101" s="7"/>
      <c r="D101" s="7"/>
      <c r="E101" s="7"/>
      <c r="F101" s="7"/>
      <c r="G101" s="7"/>
      <c r="H101" s="8"/>
      <c r="I101" s="9">
        <f>IF(COUNT(C101:G101)=0,"",ROUND(SUM(C101:G101)*(1+IFERROR(H101,0)/100),2))</f>
      </c>
    </row>
    <row r="102" spans="1:9" x14ac:dyDescent="0.25">
      <c r="A102" s="5" t="s">
        <v>137</v>
      </c>
      <c r="B102" s="6" t="s">
        <v>139</v>
      </c>
      <c r="C102" s="7"/>
      <c r="D102" s="7"/>
      <c r="E102" s="7"/>
      <c r="F102" s="7"/>
      <c r="G102" s="7"/>
      <c r="H102" s="8"/>
      <c r="I102" s="9">
        <f>IF(COUNT(C102:G102)=0,"",ROUND(SUM(C102:G102)*(1+IFERROR(H102,0)/100),2))</f>
      </c>
    </row>
    <row r="103" spans="1:9" x14ac:dyDescent="0.25">
      <c r="A103" s="5" t="s">
        <v>137</v>
      </c>
      <c r="B103" s="6" t="s">
        <v>140</v>
      </c>
      <c r="C103" s="7"/>
      <c r="D103" s="7"/>
      <c r="E103" s="7"/>
      <c r="F103" s="7"/>
      <c r="G103" s="7"/>
      <c r="H103" s="8"/>
      <c r="I103" s="9">
        <f>IF(COUNT(C103:G103)=0,"",ROUND(SUM(C103:G103)*(1+IFERROR(H103,0)/100),2))</f>
      </c>
    </row>
    <row r="104" spans="1:9" x14ac:dyDescent="0.25">
      <c r="A104" s="5" t="s">
        <v>141</v>
      </c>
      <c r="B104" s="6" t="s">
        <v>142</v>
      </c>
      <c r="C104" s="7"/>
      <c r="D104" s="7"/>
      <c r="E104" s="7"/>
      <c r="F104" s="7"/>
      <c r="G104" s="7"/>
      <c r="H104" s="8"/>
      <c r="I104" s="9">
        <f>IF(COUNT(C104:G104)=0,"",ROUND(SUM(C104:G104)*(1+IFERROR(H104,0)/100),2))</f>
      </c>
    </row>
    <row r="105" spans="1:9" x14ac:dyDescent="0.25">
      <c r="A105" s="5" t="s">
        <v>141</v>
      </c>
      <c r="B105" s="6" t="s">
        <v>143</v>
      </c>
      <c r="C105" s="7"/>
      <c r="D105" s="7"/>
      <c r="E105" s="7"/>
      <c r="F105" s="7"/>
      <c r="G105" s="7"/>
      <c r="H105" s="8"/>
      <c r="I105" s="9">
        <f>IF(COUNT(C105:G105)=0,"",ROUND(SUM(C105:G105)*(1+IFERROR(H105,0)/100),2))</f>
      </c>
    </row>
    <row r="106" spans="1:9" x14ac:dyDescent="0.25">
      <c r="A106" s="5" t="s">
        <v>141</v>
      </c>
      <c r="B106" s="6" t="s">
        <v>144</v>
      </c>
      <c r="C106" s="7"/>
      <c r="D106" s="7"/>
      <c r="E106" s="7"/>
      <c r="F106" s="7"/>
      <c r="G106" s="7"/>
      <c r="H106" s="8"/>
      <c r="I106" s="9">
        <f>IF(COUNT(C106:G106)=0,"",ROUND(SUM(C106:G106)*(1+IFERROR(H106,0)/100),2))</f>
      </c>
    </row>
    <row r="107" spans="1:9" x14ac:dyDescent="0.25">
      <c r="A107" s="5" t="s">
        <v>141</v>
      </c>
      <c r="B107" s="6" t="s">
        <v>145</v>
      </c>
      <c r="C107" s="7"/>
      <c r="D107" s="7"/>
      <c r="E107" s="7"/>
      <c r="F107" s="7"/>
      <c r="G107" s="7"/>
      <c r="H107" s="8"/>
      <c r="I107" s="9">
        <f>IF(COUNT(C107:G107)=0,"",ROUND(SUM(C107:G107)*(1+IFERROR(H107,0)/100),2))</f>
      </c>
    </row>
    <row r="108" spans="1:9" x14ac:dyDescent="0.25">
      <c r="A108" s="5" t="s">
        <v>141</v>
      </c>
      <c r="B108" s="6" t="s">
        <v>146</v>
      </c>
      <c r="C108" s="7"/>
      <c r="D108" s="7"/>
      <c r="E108" s="7"/>
      <c r="F108" s="7"/>
      <c r="G108" s="7"/>
      <c r="H108" s="8"/>
      <c r="I108" s="9">
        <f>IF(COUNT(C108:G108)=0,"",ROUND(SUM(C108:G108)*(1+IFERROR(H108,0)/100),2))</f>
      </c>
    </row>
    <row r="109" spans="1:9" x14ac:dyDescent="0.25">
      <c r="A109" s="5" t="s">
        <v>141</v>
      </c>
      <c r="B109" s="6" t="s">
        <v>147</v>
      </c>
      <c r="C109" s="7"/>
      <c r="D109" s="7"/>
      <c r="E109" s="7"/>
      <c r="F109" s="7"/>
      <c r="G109" s="7"/>
      <c r="H109" s="8"/>
      <c r="I109" s="9">
        <f>IF(COUNT(C109:G109)=0,"",ROUND(SUM(C109:G109)*(1+IFERROR(H109,0)/100),2))</f>
      </c>
    </row>
    <row r="110" spans="1:9" x14ac:dyDescent="0.25">
      <c r="A110" s="5" t="s">
        <v>141</v>
      </c>
      <c r="B110" s="6" t="s">
        <v>148</v>
      </c>
      <c r="C110" s="7"/>
      <c r="D110" s="7"/>
      <c r="E110" s="7"/>
      <c r="F110" s="7"/>
      <c r="G110" s="7"/>
      <c r="H110" s="8"/>
      <c r="I110" s="9">
        <f>IF(COUNT(C110:G110)=0,"",ROUND(SUM(C110:G110)*(1+IFERROR(H110,0)/100),2))</f>
      </c>
    </row>
    <row r="112" spans="2:9" x14ac:dyDescent="0.25">
      <c r="B112" s="10" t="s">
        <v>149</v>
      </c>
      <c r="C112" s="11">
        <f>IFERROR(SUM(C2:C110),0)</f>
      </c>
      <c r="D112" s="11">
        <f>IFERROR(SUM(D2:D110),0)</f>
      </c>
      <c r="E112" s="11">
        <f>IFERROR(SUM(E2:E110),0)</f>
      </c>
      <c r="F112" s="11">
        <f>IFERROR(SUM(F2:F110),0)</f>
      </c>
      <c r="G112" s="11">
        <f>IFERROR(SUM(G2:G110),0)</f>
      </c>
      <c r="I112" s="11">
        <f>IFERROR(SUM(I2:I110),0)</f>
      </c>
    </row>
  </sheetData>
  <conditionalFormatting sqref="H2:H110">
    <cfRule type="expression" dxfId="0" priority="1">
      <formula>AND(ISNUMBER(H2),H2&lt;10)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0" customWidth="1"/>
    <col min="4" max="4" width="18" customWidth="1"/>
    <col min="5" max="5" width="20" customWidth="1"/>
    <col min="6" max="6" width="22" customWidth="1"/>
    <col min="7" max="8" width="20" customWidth="1"/>
    <col min="9" max="9" width="22" customWidth="1"/>
    <col min="10" max="10" width="20" customWidth="1"/>
    <col min="11" max="11" width="22" customWidth="1"/>
    <col min="12" max="12" width="16" customWidth="1"/>
  </cols>
  <sheetData>
    <row r="1" ht="44" customHeight="1" spans="1:12" x14ac:dyDescent="0.25">
      <c r="A1" s="4" t="s">
        <v>150</v>
      </c>
      <c r="B1" s="4" t="s">
        <v>151</v>
      </c>
      <c r="C1" s="4" t="s">
        <v>152</v>
      </c>
      <c r="D1" s="4" t="s">
        <v>153</v>
      </c>
      <c r="E1" s="4" t="s">
        <v>154</v>
      </c>
      <c r="F1" s="4" t="s">
        <v>155</v>
      </c>
      <c r="G1" s="4" t="s">
        <v>156</v>
      </c>
      <c r="H1" s="4" t="s">
        <v>157</v>
      </c>
      <c r="I1" s="4" t="s">
        <v>158</v>
      </c>
      <c r="J1" s="4" t="s">
        <v>159</v>
      </c>
      <c r="K1" s="4" t="s">
        <v>160</v>
      </c>
      <c r="L1" s="4" t="s">
        <v>161</v>
      </c>
    </row>
    <row r="2" spans="1:12" x14ac:dyDescent="0.25">
      <c r="A2" s="12" t="s">
        <v>162</v>
      </c>
      <c r="B2" s="6">
        <v>30</v>
      </c>
      <c r="C2" s="6">
        <v>7</v>
      </c>
      <c r="D2" s="13">
        <v>10.49</v>
      </c>
      <c r="E2" s="13"/>
      <c r="F2" s="13"/>
      <c r="G2" s="13"/>
      <c r="H2" s="13"/>
      <c r="I2" s="13"/>
      <c r="J2" s="14">
        <f>IF(COUNT(E2:I2)=0,"",SUM(E2:I2))</f>
      </c>
      <c r="K2" s="15">
        <f>IF(J2="","",D2-J2)</f>
      </c>
      <c r="L2" s="16">
        <f>IF(OR(J2="",D2=0),"",ROUND((D2-J2)/D2*100,1))</f>
      </c>
    </row>
    <row r="3" spans="1:12" x14ac:dyDescent="0.25">
      <c r="A3" s="12" t="s">
        <v>163</v>
      </c>
      <c r="B3" s="6">
        <v>30</v>
      </c>
      <c r="C3" s="6">
        <v>8</v>
      </c>
      <c r="D3" s="13">
        <v>10.49</v>
      </c>
      <c r="E3" s="13"/>
      <c r="F3" s="13"/>
      <c r="G3" s="13"/>
      <c r="H3" s="13"/>
      <c r="I3" s="13"/>
      <c r="J3" s="14">
        <f>IF(COUNT(E3:I3)=0,"",SUM(E3:I3))</f>
      </c>
      <c r="K3" s="15">
        <f>IF(J3="","",D3-J3)</f>
      </c>
      <c r="L3" s="16">
        <f>IF(OR(J3="",D3=0),"",ROUND((D3-J3)/D3*100,1))</f>
      </c>
    </row>
    <row r="4" spans="1:12" x14ac:dyDescent="0.25">
      <c r="A4" s="12" t="s">
        <v>164</v>
      </c>
      <c r="B4" s="6">
        <v>30</v>
      </c>
      <c r="C4" s="6">
        <v>8</v>
      </c>
      <c r="D4" s="13">
        <v>12.49</v>
      </c>
      <c r="E4" s="13"/>
      <c r="F4" s="13"/>
      <c r="G4" s="13"/>
      <c r="H4" s="13"/>
      <c r="I4" s="13"/>
      <c r="J4" s="14">
        <f>IF(COUNT(E4:I4)=0,"",SUM(E4:I4))</f>
      </c>
      <c r="K4" s="15">
        <f>IF(J4="","",D4-J4)</f>
      </c>
      <c r="L4" s="16">
        <f>IF(OR(J4="",D4=0),"",ROUND((D4-J4)/D4*100,1))</f>
      </c>
    </row>
    <row r="5" spans="1:12" x14ac:dyDescent="0.25">
      <c r="A5" s="12" t="s">
        <v>165</v>
      </c>
      <c r="B5" s="6">
        <v>30</v>
      </c>
      <c r="C5" s="6">
        <v>9</v>
      </c>
      <c r="D5" s="13">
        <v>14.49</v>
      </c>
      <c r="E5" s="13"/>
      <c r="F5" s="13"/>
      <c r="G5" s="13"/>
      <c r="H5" s="13"/>
      <c r="I5" s="13"/>
      <c r="J5" s="14">
        <f>IF(COUNT(E5:I5)=0,"",SUM(E5:I5))</f>
      </c>
      <c r="K5" s="15">
        <f>IF(J5="","",D5-J5)</f>
      </c>
      <c r="L5" s="16">
        <f>IF(OR(J5="",D5=0),"",ROUND((D5-J5)/D5*100,1))</f>
      </c>
    </row>
    <row r="6" spans="1:12" x14ac:dyDescent="0.25">
      <c r="A6" s="12" t="s">
        <v>166</v>
      </c>
      <c r="B6" s="6">
        <v>25</v>
      </c>
      <c r="C6" s="6">
        <v>11</v>
      </c>
      <c r="D6" s="13">
        <v>16.49</v>
      </c>
      <c r="E6" s="13"/>
      <c r="F6" s="13"/>
      <c r="G6" s="13"/>
      <c r="H6" s="13"/>
      <c r="I6" s="13"/>
      <c r="J6" s="14">
        <f>IF(COUNT(E6:I6)=0,"",SUM(E6:I6))</f>
      </c>
      <c r="K6" s="15">
        <f>IF(J6="","",D6-J6)</f>
      </c>
      <c r="L6" s="16">
        <f>IF(OR(J6="",D6=0),"",ROUND((D6-J6)/D6*100,1))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Menu Costs</vt:lpstr>
      <vt:lpstr>Catering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 Time</dc:creator>
  <dc:title/>
  <dc:subject/>
  <dc:description/>
  <cp:keywords/>
  <cp:category/>
  <cp:lastModifiedBy>Unknown</cp:lastModifiedBy>
  <dcterms:created xsi:type="dcterms:W3CDTF">2026-04-15T18:12:05Z</dcterms:created>
  <dcterms:modified xsi:type="dcterms:W3CDTF">2026-04-15T18:12:05Z</dcterms:modified>
</cp:coreProperties>
</file>